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rem\Documents\A5_BigDataStructure\big_data_structure\"/>
    </mc:Choice>
  </mc:AlternateContent>
  <xr:revisionPtr revIDLastSave="0" documentId="13_ncr:1_{D46ADAE8-77DF-485F-B59C-4BA8F8ADEC64}" xr6:coauthVersionLast="47" xr6:coauthVersionMax="47" xr10:uidLastSave="{00000000-0000-0000-0000-000000000000}"/>
  <bookViews>
    <workbookView xWindow="-120" yWindow="-120" windowWidth="29040" windowHeight="15720" xr2:uid="{EC06A178-667E-4206-997B-DB84C90162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L21" i="1" s="1"/>
  <c r="C33" i="1"/>
  <c r="C32" i="1"/>
  <c r="C31" i="1"/>
  <c r="C30" i="1"/>
  <c r="C29" i="1"/>
  <c r="M23" i="1"/>
  <c r="K25" i="1"/>
  <c r="L25" i="1" s="1"/>
  <c r="N25" i="1" s="1"/>
  <c r="O25" i="1" s="1"/>
  <c r="K23" i="1"/>
  <c r="L23" i="1" s="1"/>
  <c r="N23" i="1" s="1"/>
  <c r="O23" i="1" s="1"/>
  <c r="K19" i="1"/>
  <c r="L19" i="1" s="1"/>
  <c r="N19" i="1" s="1"/>
  <c r="O19" i="1" s="1"/>
  <c r="K17" i="1"/>
  <c r="L17" i="1" s="1"/>
  <c r="N17" i="1" s="1"/>
  <c r="O17" i="1" s="1"/>
  <c r="K15" i="1"/>
  <c r="L15" i="1" s="1"/>
  <c r="N15" i="1" s="1"/>
  <c r="O15" i="1" s="1"/>
  <c r="K13" i="1"/>
  <c r="L13" i="1" s="1"/>
  <c r="N13" i="1" s="1"/>
  <c r="O13" i="1" s="1"/>
  <c r="K11" i="1"/>
  <c r="L11" i="1" s="1"/>
  <c r="N11" i="1" s="1"/>
  <c r="O11" i="1" s="1"/>
  <c r="K9" i="1"/>
  <c r="L9" i="1" s="1"/>
  <c r="K7" i="1"/>
  <c r="L7" i="1" s="1"/>
  <c r="N7" i="1" s="1"/>
  <c r="O7" i="1" s="1"/>
  <c r="K5" i="1"/>
  <c r="L5" i="1" s="1"/>
  <c r="N5" i="1" s="1"/>
  <c r="O5" i="1" s="1"/>
  <c r="K3" i="1"/>
  <c r="L3" i="1" s="1"/>
  <c r="N3" i="1" s="1"/>
  <c r="O3" i="1" s="1"/>
  <c r="F21" i="1"/>
  <c r="M9" i="1"/>
  <c r="N21" i="1" l="1"/>
  <c r="C34" i="1" s="1"/>
  <c r="N9" i="1"/>
  <c r="O9" i="1" s="1"/>
  <c r="O21" i="1" l="1"/>
</calcChain>
</file>

<file path=xl/sharedStrings.xml><?xml version="1.0" encoding="utf-8"?>
<sst xmlns="http://schemas.openxmlformats.org/spreadsheetml/2006/main" count="226" uniqueCount="85">
  <si>
    <t>String</t>
  </si>
  <si>
    <t>Date</t>
  </si>
  <si>
    <t>LongString</t>
  </si>
  <si>
    <t>Product</t>
  </si>
  <si>
    <t>Categories</t>
  </si>
  <si>
    <t>Supplier</t>
  </si>
  <si>
    <t>Stock</t>
  </si>
  <si>
    <t>Warehouse</t>
  </si>
  <si>
    <t>OrderLine</t>
  </si>
  <si>
    <t>Client</t>
  </si>
  <si>
    <t>Int/num</t>
  </si>
  <si>
    <t>Size</t>
  </si>
  <si>
    <t>avg array length</t>
  </si>
  <si>
    <t>array int</t>
  </si>
  <si>
    <t>array string</t>
  </si>
  <si>
    <t>keys</t>
  </si>
  <si>
    <t>Collection</t>
  </si>
  <si>
    <t>Nb documents</t>
  </si>
  <si>
    <t>Prod{[Cat], Supp}</t>
  </si>
  <si>
    <t>Prod{[Cat], Supp, [St]}</t>
  </si>
  <si>
    <t>Prod{[Cat], Supp, [OL]}</t>
  </si>
  <si>
    <t>St{Prod{[Cat], Supp}}</t>
  </si>
  <si>
    <t>OL{Prod{[Cat], Supp}}</t>
  </si>
  <si>
    <t>array date</t>
  </si>
  <si>
    <t>Revenue : amount(int), currency(string), year(int)</t>
  </si>
  <si>
    <t>Price : amount(int), currency(string), VAT(int)</t>
  </si>
  <si>
    <t>Pour 5000 supplier pour les 5000 different brands ?</t>
  </si>
  <si>
    <t>!! Categories est juste un array, donc pas de clés</t>
  </si>
  <si>
    <t>array longstring</t>
  </si>
  <si>
    <t>Justif</t>
  </si>
  <si>
    <t>IDP;2 price;IDS</t>
  </si>
  <si>
    <t>name;price;brand;image_url</t>
  </si>
  <si>
    <t>X</t>
  </si>
  <si>
    <t>description</t>
  </si>
  <si>
    <t>-2 for 3 components of price</t>
  </si>
  <si>
    <t>avg of 2 categories</t>
  </si>
  <si>
    <t>title</t>
  </si>
  <si>
    <t>Not sure</t>
  </si>
  <si>
    <t>IDS;SIRET;2 revenue(amount and year)</t>
  </si>
  <si>
    <t>name;headoffice;revenue</t>
  </si>
  <si>
    <t>-2 for 3 components of revenue</t>
  </si>
  <si>
    <t>quantity;IDP;IDW</t>
  </si>
  <si>
    <t>location</t>
  </si>
  <si>
    <t>IDW;capacity</t>
  </si>
  <si>
    <t>address</t>
  </si>
  <si>
    <t>quantity;grade;IDP;IDC</t>
  </si>
  <si>
    <t>date;deliveryDate</t>
  </si>
  <si>
    <t>comment</t>
  </si>
  <si>
    <t>IDC</t>
  </si>
  <si>
    <t>ln;fn;address;nationality;email</t>
  </si>
  <si>
    <t>birthDate</t>
  </si>
  <si>
    <t>IDP;2 price;IDS;SIRET;2 revenue</t>
  </si>
  <si>
    <t>name;price;brand;image_url;name;headOffice;revenue</t>
  </si>
  <si>
    <t>name;price;brand;image_url;name;headOffice;revenue;2 for titles in categories</t>
  </si>
  <si>
    <t>200 warehouses so 200 different stocks per product</t>
  </si>
  <si>
    <t>quantity;IDW</t>
  </si>
  <si>
    <t>OL/Prod</t>
  </si>
  <si>
    <t>quantity;grade;IDC</t>
  </si>
  <si>
    <t>location;name;price;brand;image_url;name;headOffice;revenue</t>
  </si>
  <si>
    <t>quantity;IDW;IDP;2 price;IDS;SIRET;2 revenue</t>
  </si>
  <si>
    <t>2 extra for price;2 extra for revenue; 1 extra for title array in categories as considered not a key</t>
  </si>
  <si>
    <t>2 extra for price;2 extra for revenue; 2 extra for title in categories as considered not a key (not put in array this time)</t>
  </si>
  <si>
    <t>2 extra for price;2 extra for revenue; 1 extra for title array in categories as considered not a key; no [] around prod so embedded only one prod, hence why no multiplication per number of products</t>
  </si>
  <si>
    <t>quantity;grade;IDC;IDP;2 price;IDS;SIRET;2 revenue</t>
  </si>
  <si>
    <t>comment;description</t>
  </si>
  <si>
    <t>200 warehouses * 1E7 products</t>
  </si>
  <si>
    <t>Not sure, but I think it's because OL has products already</t>
  </si>
  <si>
    <t>Document size in B</t>
  </si>
  <si>
    <t>Collection size in B</t>
  </si>
  <si>
    <t>Collection size in GB</t>
  </si>
  <si>
    <t>DB1</t>
  </si>
  <si>
    <t>DB2</t>
  </si>
  <si>
    <t>DB3</t>
  </si>
  <si>
    <t>DB4</t>
  </si>
  <si>
    <t>DB5</t>
  </si>
  <si>
    <t>DB0</t>
  </si>
  <si>
    <t>Cat, Supp, Prod, St, Wa, OL, Cl</t>
  </si>
  <si>
    <t>Prod{[Cat], Supp, [St]}, Wa, OL, Cl</t>
  </si>
  <si>
    <t>Prod{[Cat], Supp}, St, Wa, OL, Cl</t>
  </si>
  <si>
    <t>St{Prod{[Cat], Supp}}, Wa, OL, Cl</t>
  </si>
  <si>
    <t>St, Wa, OL{Prod{[Cat], Supp}}, Cl</t>
  </si>
  <si>
    <t>Prod{[Cat], Supp, [OL]}, St, Wa, Cl</t>
  </si>
  <si>
    <t>Database</t>
  </si>
  <si>
    <t>Signature</t>
  </si>
  <si>
    <t>Size in 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</si>
</sst>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3" x14ac:knownFonts="1">
    <font>
      <sz val="11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1" fontId="0" fillId="0" borderId="0" xfId="0" applyNumberFormat="1"/>
    <xf numFmtId="0" fontId="0" fillId="0" borderId="1" xfId="0" applyBorder="1"/>
    <xf numFmtId="1" fontId="0" fillId="0" borderId="0" xfId="0" applyNumberFormat="1"/>
    <xf numFmtId="1" fontId="0" fillId="0" borderId="2" xfId="0" applyNumberFormat="1" applyBorder="1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11" fontId="2" fillId="0" borderId="0" xfId="0" applyNumberFormat="1" applyFont="1"/>
    <xf numFmtId="1" fontId="1" fillId="0" borderId="0" xfId="0" applyNumberFormat="1" applyFont="1"/>
    <xf numFmtId="1" fontId="0" fillId="0" borderId="3" xfId="0" applyNumberFormat="1" applyBorder="1"/>
    <xf numFmtId="1" fontId="1" fillId="0" borderId="3" xfId="0" quotePrefix="1" applyNumberFormat="1" applyFont="1" applyBorder="1"/>
    <xf numFmtId="1" fontId="1" fillId="0" borderId="3" xfId="0" applyNumberFormat="1" applyFont="1" applyBorder="1"/>
    <xf numFmtId="11" fontId="1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4"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0.000000000"/>
    </dxf>
    <dxf>
      <numFmt numFmtId="1" formatCode="0"/>
    </dxf>
    <dxf>
      <numFmt numFmtId="1" formatCode="0"/>
      <border diagonalUp="0" diagonalDown="0">
        <left/>
        <right style="thin">
          <color indexed="64"/>
        </right>
        <vertic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F802DD-0C23-4A83-BE10-08C047E1B7C7}" name="Table1" displayName="Table1" ref="A1:O26" totalsRowShown="0">
  <autoFilter ref="A1:O26" xr:uid="{D0F802DD-0C23-4A83-BE10-08C047E1B7C7}"/>
  <tableColumns count="15">
    <tableColumn id="1" xr3:uid="{B16EF0E5-BDC5-4F52-8F26-061E42A7794B}" name="Collection"/>
    <tableColumn id="2" xr3:uid="{F5A6ABE1-E020-4ACF-AB4C-4E90A0D54712}" name="Int/num"/>
    <tableColumn id="3" xr3:uid="{4160A4BA-EA8C-45AA-8E42-520C65D05E7A}" name="String"/>
    <tableColumn id="4" xr3:uid="{A3C071C8-D2E1-41D1-9E59-BD4BCE2725E9}" name="Date"/>
    <tableColumn id="5" xr3:uid="{1F056A36-1E72-4A51-AD4A-4E6EE1B2D4E1}" name="LongString"/>
    <tableColumn id="6" xr3:uid="{446B986D-90D4-4F8C-992F-D2B5D7406D55}" name="avg array length"/>
    <tableColumn id="7" xr3:uid="{4B5A6732-75F3-4082-AF0E-83ED57951452}" name="array int"/>
    <tableColumn id="8" xr3:uid="{774C7AB7-2590-4C29-835D-5906EB1437A0}" name="array string"/>
    <tableColumn id="15" xr3:uid="{E471F259-82BF-460B-9AA7-B3809E05094E}" name="array longstring"/>
    <tableColumn id="14" xr3:uid="{271028B8-BE5A-4443-88D9-0829FBA81570}" name="array date"/>
    <tableColumn id="9" xr3:uid="{28EBB960-7DD2-45D2-8085-5B53C5722C8F}" name="keys" dataDxfId="3"/>
    <tableColumn id="10" xr3:uid="{1E3A7170-B726-45CF-9B8D-834F5F90D446}" name="Document size in B"/>
    <tableColumn id="11" xr3:uid="{E8298995-9560-47AF-A699-D0E3CE456F40}" name="Nb documents"/>
    <tableColumn id="12" xr3:uid="{700473E9-B23B-4E97-89F6-B1621B05A83F}" name="Collection size in B" dataDxfId="2"/>
    <tableColumn id="13" xr3:uid="{FB3D1193-349E-47C3-9F52-C4DC7AB46798}" name="Collection size in GB" dataDxfId="1">
      <calculatedColumnFormula>Table1[[#This Row],[Collection size in B]]/1024^3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E7DC345-5663-45D5-BF89-0843C46AC5C7}" name="Table4" displayName="Table4" ref="A28:C34" totalsRowShown="0">
  <autoFilter ref="A28:C34" xr:uid="{8E7DC345-5663-45D5-BF89-0843C46AC5C7}"/>
  <tableColumns count="3">
    <tableColumn id="1" xr3:uid="{A8BEFFCB-EAC7-4B25-8801-2748D4E09C8B}" name="Database"/>
    <tableColumn id="2" xr3:uid="{0AA50A09-BB3E-4789-93D5-9585B1475945}" name="Signature"/>
    <tableColumn id="3" xr3:uid="{5AA88CD3-B2D9-4022-AB4E-E619EDFC0273}" name="Size in GB" dataDxfId="0">
      <calculatedColumnFormula>(N3+N5+N7+N9+N11+N13+N15)/1024^3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212D9-E357-4C03-A9F9-4643A2A9FD4F}">
  <dimension ref="A1:Q34"/>
  <sheetViews>
    <sheetView tabSelected="1" zoomScale="106" zoomScaleNormal="100" workbookViewId="0">
      <selection activeCell="C2" sqref="C2"/>
    </sheetView>
  </sheetViews>
  <sheetFormatPr baseColWidth="10" defaultColWidth="9.140625" defaultRowHeight="15" x14ac:dyDescent="0.25"/>
  <cols>
    <col min="1" max="1" width="25.7109375" customWidth="1"/>
    <col min="2" max="3" width="15.7109375" customWidth="1"/>
    <col min="4" max="4" width="13.7109375" customWidth="1"/>
    <col min="5" max="5" width="15.7109375" customWidth="1"/>
    <col min="6" max="6" width="17.28515625" customWidth="1"/>
    <col min="7" max="7" width="18.140625" customWidth="1"/>
    <col min="8" max="8" width="25.5703125" customWidth="1"/>
    <col min="9" max="9" width="22.5703125" customWidth="1"/>
    <col min="10" max="10" width="21" customWidth="1"/>
    <col min="11" max="11" width="20.42578125" style="3" customWidth="1"/>
    <col min="12" max="12" width="15.7109375" customWidth="1"/>
    <col min="13" max="13" width="28.7109375" customWidth="1"/>
    <col min="14" max="14" width="17.28515625" style="3" customWidth="1"/>
    <col min="15" max="15" width="25.28515625" style="14" customWidth="1"/>
  </cols>
  <sheetData>
    <row r="1" spans="1:17" x14ac:dyDescent="0.25">
      <c r="A1" t="s">
        <v>16</v>
      </c>
      <c r="B1" t="s">
        <v>10</v>
      </c>
      <c r="C1" t="s">
        <v>0</v>
      </c>
      <c r="D1" t="s">
        <v>1</v>
      </c>
      <c r="E1" t="s">
        <v>2</v>
      </c>
      <c r="F1" t="s">
        <v>12</v>
      </c>
      <c r="G1" t="s">
        <v>13</v>
      </c>
      <c r="H1" t="s">
        <v>14</v>
      </c>
      <c r="I1" t="s">
        <v>28</v>
      </c>
      <c r="J1" t="s">
        <v>23</v>
      </c>
      <c r="K1" s="3" t="s">
        <v>15</v>
      </c>
      <c r="L1" t="s">
        <v>67</v>
      </c>
      <c r="M1" t="s">
        <v>17</v>
      </c>
      <c r="N1" s="3" t="s">
        <v>68</v>
      </c>
      <c r="O1" s="14" t="s">
        <v>69</v>
      </c>
      <c r="Q1" t="s">
        <v>27</v>
      </c>
    </row>
    <row r="2" spans="1:17" x14ac:dyDescent="0.25">
      <c r="A2" s="2" t="s">
        <v>11</v>
      </c>
      <c r="B2" s="2">
        <v>8</v>
      </c>
      <c r="C2" s="2">
        <v>80</v>
      </c>
      <c r="D2" s="2">
        <v>20</v>
      </c>
      <c r="E2" s="2">
        <v>200</v>
      </c>
      <c r="F2" s="2"/>
      <c r="G2" s="2">
        <v>8</v>
      </c>
      <c r="H2" s="2">
        <v>80</v>
      </c>
      <c r="I2" s="2">
        <v>200</v>
      </c>
      <c r="J2" s="2">
        <v>20</v>
      </c>
      <c r="K2" s="4">
        <v>12</v>
      </c>
      <c r="Q2" t="s">
        <v>25</v>
      </c>
    </row>
    <row r="3" spans="1:17" x14ac:dyDescent="0.25">
      <c r="A3" t="s">
        <v>3</v>
      </c>
      <c r="B3">
        <v>4</v>
      </c>
      <c r="C3">
        <v>4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 s="10">
        <f>SUM(Table1[[#This Row],[Int/num]:[array date]]) - Table1[[#This Row],[avg array length]] - 2</f>
        <v>7</v>
      </c>
      <c r="L3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636</v>
      </c>
      <c r="M3" s="1">
        <v>100000</v>
      </c>
      <c r="N3" s="3">
        <f>Table1[[#This Row],[Nb documents]]*Table1[[#This Row],[Document size in B]]</f>
        <v>63600000</v>
      </c>
      <c r="O3" s="14">
        <f>Table1[[#This Row],[Collection size in B]]/1024^3</f>
        <v>5.9232115745544434E-2</v>
      </c>
      <c r="Q3" t="s">
        <v>24</v>
      </c>
    </row>
    <row r="4" spans="1:17" s="6" customFormat="1" ht="12" x14ac:dyDescent="0.2">
      <c r="A4" s="5" t="s">
        <v>29</v>
      </c>
      <c r="B4" s="5" t="s">
        <v>30</v>
      </c>
      <c r="C4" s="5" t="s">
        <v>31</v>
      </c>
      <c r="D4" s="5" t="s">
        <v>32</v>
      </c>
      <c r="E4" s="5" t="s">
        <v>33</v>
      </c>
      <c r="F4" s="5" t="s">
        <v>32</v>
      </c>
      <c r="G4" s="5" t="s">
        <v>32</v>
      </c>
      <c r="H4" s="5" t="s">
        <v>32</v>
      </c>
      <c r="I4" s="5" t="s">
        <v>32</v>
      </c>
      <c r="J4" s="5" t="s">
        <v>32</v>
      </c>
      <c r="K4" s="11" t="s">
        <v>34</v>
      </c>
      <c r="L4" s="6" t="s">
        <v>32</v>
      </c>
      <c r="M4" s="8" t="s">
        <v>32</v>
      </c>
      <c r="N4" s="7" t="s">
        <v>32</v>
      </c>
      <c r="O4" s="15" t="s">
        <v>32</v>
      </c>
    </row>
    <row r="5" spans="1:1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2</v>
      </c>
      <c r="G5">
        <v>0</v>
      </c>
      <c r="H5">
        <v>1</v>
      </c>
      <c r="I5">
        <v>0</v>
      </c>
      <c r="J5">
        <v>0</v>
      </c>
      <c r="K5" s="10">
        <f>SUM(Table1[[#This Row],[Int/num]:[array date]]) - Table1[[#This Row],[avg array length]]</f>
        <v>1</v>
      </c>
      <c r="L5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172</v>
      </c>
      <c r="M5">
        <v>1</v>
      </c>
      <c r="N5" s="3">
        <f>Table1[[#This Row],[Nb documents]]*Table1[[#This Row],[Document size in B]]</f>
        <v>172</v>
      </c>
      <c r="O5" s="14">
        <f>Table1[[#This Row],[Collection size in B]]/1024^3</f>
        <v>1.601874828338623E-7</v>
      </c>
    </row>
    <row r="6" spans="1:17" s="5" customFormat="1" ht="12" x14ac:dyDescent="0.2">
      <c r="A6" s="5" t="s">
        <v>29</v>
      </c>
      <c r="B6" s="5" t="s">
        <v>32</v>
      </c>
      <c r="C6" s="5" t="s">
        <v>32</v>
      </c>
      <c r="D6" s="5" t="s">
        <v>32</v>
      </c>
      <c r="E6" s="5" t="s">
        <v>32</v>
      </c>
      <c r="F6" s="5" t="s">
        <v>35</v>
      </c>
      <c r="G6" s="5" t="s">
        <v>32</v>
      </c>
      <c r="H6" s="5" t="s">
        <v>36</v>
      </c>
      <c r="I6" s="5" t="s">
        <v>32</v>
      </c>
      <c r="J6" s="5" t="s">
        <v>32</v>
      </c>
      <c r="K6" s="12" t="s">
        <v>37</v>
      </c>
      <c r="L6" s="6" t="s">
        <v>32</v>
      </c>
      <c r="M6" s="5" t="s">
        <v>32</v>
      </c>
      <c r="N6" s="9" t="s">
        <v>32</v>
      </c>
      <c r="O6" s="16" t="s">
        <v>32</v>
      </c>
    </row>
    <row r="7" spans="1:17" x14ac:dyDescent="0.25">
      <c r="A7" t="s">
        <v>5</v>
      </c>
      <c r="B7">
        <v>4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10">
        <f>SUM(Table1[[#This Row],[Int/num]:[array date]]) - Table1[[#This Row],[avg array length]] - 2</f>
        <v>5</v>
      </c>
      <c r="L7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332</v>
      </c>
      <c r="M7">
        <v>5000</v>
      </c>
      <c r="N7" s="3">
        <f>Table1[[#This Row],[Nb documents]]*Table1[[#This Row],[Document size in B]]</f>
        <v>1660000</v>
      </c>
      <c r="O7" s="14">
        <f>Table1[[#This Row],[Collection size in B]]/1024^3</f>
        <v>1.5459954738616943E-3</v>
      </c>
    </row>
    <row r="8" spans="1:17" s="5" customFormat="1" ht="12" x14ac:dyDescent="0.2">
      <c r="A8" s="5" t="s">
        <v>29</v>
      </c>
      <c r="B8" s="5" t="s">
        <v>38</v>
      </c>
      <c r="C8" s="5" t="s">
        <v>39</v>
      </c>
      <c r="D8" s="5" t="s">
        <v>32</v>
      </c>
      <c r="E8" s="5" t="s">
        <v>32</v>
      </c>
      <c r="F8" s="5" t="s">
        <v>32</v>
      </c>
      <c r="G8" s="5" t="s">
        <v>32</v>
      </c>
      <c r="H8" s="5" t="s">
        <v>32</v>
      </c>
      <c r="I8" s="5" t="s">
        <v>32</v>
      </c>
      <c r="J8" s="5" t="s">
        <v>32</v>
      </c>
      <c r="K8" s="11" t="s">
        <v>40</v>
      </c>
      <c r="L8" s="6" t="s">
        <v>32</v>
      </c>
      <c r="M8" s="5" t="s">
        <v>26</v>
      </c>
      <c r="N8" s="9" t="s">
        <v>32</v>
      </c>
      <c r="O8" s="16" t="s">
        <v>32</v>
      </c>
    </row>
    <row r="9" spans="1:17" x14ac:dyDescent="0.25">
      <c r="A9" t="s">
        <v>6</v>
      </c>
      <c r="B9">
        <v>3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10">
        <f>SUM(Table1[[#This Row],[Int/num]:[array date]]) - Table1[[#This Row],[avg array length]]</f>
        <v>4</v>
      </c>
      <c r="L9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152</v>
      </c>
      <c r="M9">
        <f>200*100000</f>
        <v>20000000</v>
      </c>
      <c r="N9" s="3">
        <f>Table1[[#This Row],[Nb documents]]*Table1[[#This Row],[Document size in B]]</f>
        <v>3040000000</v>
      </c>
      <c r="O9" s="14">
        <f>Table1[[#This Row],[Collection size in B]]/1024^3</f>
        <v>2.8312206268310547</v>
      </c>
    </row>
    <row r="10" spans="1:17" s="5" customFormat="1" ht="12" x14ac:dyDescent="0.2">
      <c r="A10" s="5" t="s">
        <v>29</v>
      </c>
      <c r="B10" s="5" t="s">
        <v>41</v>
      </c>
      <c r="C10" s="5" t="s">
        <v>42</v>
      </c>
      <c r="D10" s="5" t="s">
        <v>32</v>
      </c>
      <c r="E10" s="5" t="s">
        <v>32</v>
      </c>
      <c r="F10" s="5" t="s">
        <v>32</v>
      </c>
      <c r="G10" s="5" t="s">
        <v>32</v>
      </c>
      <c r="H10" s="5" t="s">
        <v>32</v>
      </c>
      <c r="I10" s="5" t="s">
        <v>32</v>
      </c>
      <c r="J10" s="5" t="s">
        <v>32</v>
      </c>
      <c r="K10" s="12" t="s">
        <v>32</v>
      </c>
      <c r="L10" s="6" t="s">
        <v>32</v>
      </c>
      <c r="M10" s="5" t="s">
        <v>32</v>
      </c>
      <c r="N10" s="9" t="s">
        <v>32</v>
      </c>
      <c r="O10" s="16" t="s">
        <v>32</v>
      </c>
    </row>
    <row r="11" spans="1:17" x14ac:dyDescent="0.25">
      <c r="A11" t="s">
        <v>7</v>
      </c>
      <c r="B11">
        <v>2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10">
        <f>SUM(Table1[[#This Row],[Int/num]:[array date]]) - Table1[[#This Row],[avg array length]]</f>
        <v>3</v>
      </c>
      <c r="L11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132</v>
      </c>
      <c r="M11">
        <v>200</v>
      </c>
      <c r="N11" s="3">
        <f>Table1[[#This Row],[Nb documents]]*Table1[[#This Row],[Document size in B]]</f>
        <v>26400</v>
      </c>
      <c r="O11" s="14">
        <f>Table1[[#This Row],[Collection size in B]]/1024^3</f>
        <v>2.4586915969848633E-5</v>
      </c>
    </row>
    <row r="12" spans="1:17" s="5" customFormat="1" ht="12" x14ac:dyDescent="0.2">
      <c r="A12" s="5" t="s">
        <v>29</v>
      </c>
      <c r="B12" s="5" t="s">
        <v>43</v>
      </c>
      <c r="C12" s="5" t="s">
        <v>44</v>
      </c>
      <c r="D12" s="5" t="s">
        <v>32</v>
      </c>
      <c r="E12" s="5" t="s">
        <v>32</v>
      </c>
      <c r="F12" s="5" t="s">
        <v>32</v>
      </c>
      <c r="G12" s="5" t="s">
        <v>32</v>
      </c>
      <c r="H12" s="5" t="s">
        <v>32</v>
      </c>
      <c r="I12" s="5" t="s">
        <v>32</v>
      </c>
      <c r="J12" s="5" t="s">
        <v>32</v>
      </c>
      <c r="K12" s="12" t="s">
        <v>32</v>
      </c>
      <c r="L12" s="6" t="s">
        <v>32</v>
      </c>
      <c r="M12" s="5" t="s">
        <v>32</v>
      </c>
      <c r="N12" s="9" t="s">
        <v>32</v>
      </c>
      <c r="O12" s="16" t="s">
        <v>32</v>
      </c>
    </row>
    <row r="13" spans="1:17" x14ac:dyDescent="0.25">
      <c r="A13" t="s">
        <v>8</v>
      </c>
      <c r="B13">
        <v>4</v>
      </c>
      <c r="C13">
        <v>0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 s="10">
        <f>SUM(Table1[[#This Row],[Int/num]:[array date]]) - Table1[[#This Row],[avg array length]]</f>
        <v>7</v>
      </c>
      <c r="L13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356</v>
      </c>
      <c r="M13" s="1">
        <v>4000000000</v>
      </c>
      <c r="N13" s="3">
        <f>Table1[[#This Row],[Nb documents]]*Table1[[#This Row],[Document size in B]]</f>
        <v>1424000000000</v>
      </c>
      <c r="O13" s="14">
        <f>Table1[[#This Row],[Collection size in B]]/1024^3</f>
        <v>1326.2033462524414</v>
      </c>
    </row>
    <row r="14" spans="1:17" s="5" customFormat="1" ht="12" x14ac:dyDescent="0.2">
      <c r="A14" s="5" t="s">
        <v>29</v>
      </c>
      <c r="B14" s="5" t="s">
        <v>45</v>
      </c>
      <c r="C14" s="5" t="s">
        <v>32</v>
      </c>
      <c r="D14" s="5" t="s">
        <v>46</v>
      </c>
      <c r="E14" s="5" t="s">
        <v>47</v>
      </c>
      <c r="F14" s="5" t="s">
        <v>32</v>
      </c>
      <c r="G14" s="5" t="s">
        <v>32</v>
      </c>
      <c r="H14" s="5" t="s">
        <v>32</v>
      </c>
      <c r="I14" s="5" t="s">
        <v>32</v>
      </c>
      <c r="J14" s="5" t="s">
        <v>32</v>
      </c>
      <c r="K14" s="12" t="s">
        <v>32</v>
      </c>
      <c r="L14" s="6" t="s">
        <v>32</v>
      </c>
      <c r="M14" s="13" t="s">
        <v>32</v>
      </c>
      <c r="N14" s="9" t="s">
        <v>32</v>
      </c>
      <c r="O14" s="16" t="s">
        <v>32</v>
      </c>
    </row>
    <row r="15" spans="1:17" x14ac:dyDescent="0.25">
      <c r="A15" t="s">
        <v>9</v>
      </c>
      <c r="B15">
        <v>1</v>
      </c>
      <c r="C15">
        <v>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10">
        <f>SUM(Table1[[#This Row],[Int/num]:[array date]]) - Table1[[#This Row],[avg array length]]</f>
        <v>7</v>
      </c>
      <c r="L15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512</v>
      </c>
      <c r="M15" s="1">
        <v>10000000</v>
      </c>
      <c r="N15" s="3">
        <f>Table1[[#This Row],[Nb documents]]*Table1[[#This Row],[Document size in B]]</f>
        <v>5120000000</v>
      </c>
      <c r="O15" s="14">
        <f>Table1[[#This Row],[Collection size in B]]/1024^3</f>
        <v>4.76837158203125</v>
      </c>
    </row>
    <row r="16" spans="1:17" s="5" customFormat="1" ht="12" x14ac:dyDescent="0.2">
      <c r="A16" s="5" t="s">
        <v>29</v>
      </c>
      <c r="B16" s="5" t="s">
        <v>48</v>
      </c>
      <c r="C16" s="5" t="s">
        <v>49</v>
      </c>
      <c r="D16" s="5" t="s">
        <v>50</v>
      </c>
      <c r="E16" s="5" t="s">
        <v>32</v>
      </c>
      <c r="F16" s="5" t="s">
        <v>32</v>
      </c>
      <c r="G16" s="5" t="s">
        <v>32</v>
      </c>
      <c r="H16" s="5" t="s">
        <v>32</v>
      </c>
      <c r="I16" s="5" t="s">
        <v>32</v>
      </c>
      <c r="J16" s="5" t="s">
        <v>32</v>
      </c>
      <c r="K16" s="12" t="s">
        <v>32</v>
      </c>
      <c r="L16" s="6" t="s">
        <v>32</v>
      </c>
      <c r="M16" s="13" t="s">
        <v>32</v>
      </c>
      <c r="N16" s="9" t="s">
        <v>32</v>
      </c>
      <c r="O16" s="16" t="s">
        <v>32</v>
      </c>
    </row>
    <row r="17" spans="1:15" x14ac:dyDescent="0.25">
      <c r="A17" t="s">
        <v>18</v>
      </c>
      <c r="B17">
        <v>7</v>
      </c>
      <c r="C17">
        <v>7</v>
      </c>
      <c r="D17">
        <v>0</v>
      </c>
      <c r="E17">
        <v>1</v>
      </c>
      <c r="F17">
        <v>2</v>
      </c>
      <c r="G17">
        <v>0</v>
      </c>
      <c r="H17">
        <v>1</v>
      </c>
      <c r="I17">
        <v>0</v>
      </c>
      <c r="J17">
        <v>0</v>
      </c>
      <c r="K17" s="10">
        <f>SUM(Table1[[#This Row],[Int/num]:[array date]]) - Table1[[#This Row],[avg array length]] - 5</f>
        <v>11</v>
      </c>
      <c r="L17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1108</v>
      </c>
      <c r="M17" s="1">
        <v>100000</v>
      </c>
      <c r="N17" s="3">
        <f>Table1[[#This Row],[Nb documents]]*Table1[[#This Row],[Document size in B]]</f>
        <v>110800000</v>
      </c>
      <c r="O17" s="14">
        <f>Table1[[#This Row],[Collection size in B]]/1024^3</f>
        <v>0.10319054126739502</v>
      </c>
    </row>
    <row r="18" spans="1:15" s="5" customFormat="1" ht="12" x14ac:dyDescent="0.2">
      <c r="A18" s="5" t="s">
        <v>29</v>
      </c>
      <c r="B18" s="5" t="s">
        <v>51</v>
      </c>
      <c r="C18" s="5" t="s">
        <v>52</v>
      </c>
      <c r="D18" s="5" t="s">
        <v>32</v>
      </c>
      <c r="E18" s="5" t="s">
        <v>33</v>
      </c>
      <c r="F18" s="5" t="s">
        <v>35</v>
      </c>
      <c r="G18" s="5" t="s">
        <v>32</v>
      </c>
      <c r="H18" s="5" t="s">
        <v>36</v>
      </c>
      <c r="I18" s="5" t="s">
        <v>32</v>
      </c>
      <c r="J18" s="5" t="s">
        <v>32</v>
      </c>
      <c r="K18" s="12" t="s">
        <v>60</v>
      </c>
      <c r="L18" s="6" t="s">
        <v>32</v>
      </c>
      <c r="M18" s="13" t="s">
        <v>32</v>
      </c>
      <c r="N18" s="9" t="s">
        <v>32</v>
      </c>
      <c r="O18" s="16" t="s">
        <v>32</v>
      </c>
    </row>
    <row r="19" spans="1:15" x14ac:dyDescent="0.25">
      <c r="A19" t="s">
        <v>19</v>
      </c>
      <c r="B19">
        <v>7</v>
      </c>
      <c r="C19">
        <v>9</v>
      </c>
      <c r="D19">
        <v>0</v>
      </c>
      <c r="E19">
        <v>1</v>
      </c>
      <c r="F19">
        <v>200</v>
      </c>
      <c r="G19">
        <v>2</v>
      </c>
      <c r="H19">
        <v>1</v>
      </c>
      <c r="I19">
        <v>0</v>
      </c>
      <c r="J19">
        <v>0</v>
      </c>
      <c r="K19" s="10">
        <f>SUM(Table1[[#This Row],[Int/num]:[LongString]]) + Table1[[#This Row],[avg array length]]*(Table1[[#This Row],[array int]]+Table1[[#This Row],[array string]]) - 6</f>
        <v>611</v>
      </c>
      <c r="L19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27508</v>
      </c>
      <c r="M19" s="1">
        <v>100000</v>
      </c>
      <c r="N19" s="3">
        <f>Table1[[#This Row],[Nb documents]]*Table1[[#This Row],[Document size in B]]</f>
        <v>2750800000</v>
      </c>
      <c r="O19" s="14">
        <f>Table1[[#This Row],[Collection size in B]]/1024^3</f>
        <v>2.5618821382522583</v>
      </c>
    </row>
    <row r="20" spans="1:15" s="5" customFormat="1" ht="12" x14ac:dyDescent="0.2">
      <c r="A20" s="5" t="s">
        <v>29</v>
      </c>
      <c r="B20" s="5" t="s">
        <v>51</v>
      </c>
      <c r="C20" s="5" t="s">
        <v>53</v>
      </c>
      <c r="D20" s="5" t="s">
        <v>32</v>
      </c>
      <c r="E20" s="5" t="s">
        <v>33</v>
      </c>
      <c r="F20" s="5" t="s">
        <v>54</v>
      </c>
      <c r="G20" s="5" t="s">
        <v>55</v>
      </c>
      <c r="H20" s="5" t="s">
        <v>42</v>
      </c>
      <c r="I20" s="5" t="s">
        <v>32</v>
      </c>
      <c r="J20" s="5" t="s">
        <v>32</v>
      </c>
      <c r="K20" s="12" t="s">
        <v>61</v>
      </c>
      <c r="L20" s="6" t="s">
        <v>32</v>
      </c>
      <c r="M20" s="13" t="s">
        <v>32</v>
      </c>
      <c r="N20" s="9" t="s">
        <v>32</v>
      </c>
      <c r="O20" s="16" t="s">
        <v>32</v>
      </c>
    </row>
    <row r="21" spans="1:15" x14ac:dyDescent="0.25">
      <c r="A21" t="s">
        <v>20</v>
      </c>
      <c r="B21">
        <v>7</v>
      </c>
      <c r="C21">
        <v>9</v>
      </c>
      <c r="D21">
        <v>0</v>
      </c>
      <c r="E21">
        <v>1</v>
      </c>
      <c r="F21" s="1">
        <f>4000000000/100000</f>
        <v>40000</v>
      </c>
      <c r="G21">
        <v>3</v>
      </c>
      <c r="H21">
        <v>0</v>
      </c>
      <c r="I21">
        <v>1</v>
      </c>
      <c r="J21">
        <v>2</v>
      </c>
      <c r="K21" s="10">
        <f>SUM(Table1[[#This Row],[Int/num]:[LongString]]) - 6 + Table1[[#This Row],[avg array length]]*(SUM(Table1[[#This Row],[array int]:[array date]]))</f>
        <v>240011</v>
      </c>
      <c r="L21" s="1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13441108</v>
      </c>
      <c r="M21" s="1">
        <v>100000</v>
      </c>
      <c r="N21" s="3">
        <f>Table1[[#This Row],[Nb documents]]*Table1[[#This Row],[Document size in B]]</f>
        <v>1344110800000</v>
      </c>
      <c r="O21" s="14">
        <f>Table1[[#This Row],[Collection size in B]]/1024^3</f>
        <v>1251.8007308244705</v>
      </c>
    </row>
    <row r="22" spans="1:15" s="5" customFormat="1" ht="12" x14ac:dyDescent="0.2">
      <c r="A22" s="5" t="s">
        <v>29</v>
      </c>
      <c r="B22" s="5" t="s">
        <v>51</v>
      </c>
      <c r="C22" s="5" t="s">
        <v>53</v>
      </c>
      <c r="D22" s="5" t="s">
        <v>32</v>
      </c>
      <c r="E22" s="5" t="s">
        <v>33</v>
      </c>
      <c r="F22" s="13" t="s">
        <v>56</v>
      </c>
      <c r="G22" s="5" t="s">
        <v>57</v>
      </c>
      <c r="H22" s="5" t="s">
        <v>32</v>
      </c>
      <c r="I22" s="5" t="s">
        <v>47</v>
      </c>
      <c r="J22" s="5" t="s">
        <v>46</v>
      </c>
      <c r="K22" s="12" t="s">
        <v>61</v>
      </c>
      <c r="L22" s="6" t="s">
        <v>32</v>
      </c>
      <c r="M22" s="13" t="s">
        <v>32</v>
      </c>
      <c r="N22" s="9" t="s">
        <v>32</v>
      </c>
      <c r="O22" s="16" t="s">
        <v>32</v>
      </c>
    </row>
    <row r="23" spans="1:15" x14ac:dyDescent="0.25">
      <c r="A23" t="s">
        <v>21</v>
      </c>
      <c r="B23">
        <v>9</v>
      </c>
      <c r="C23">
        <v>8</v>
      </c>
      <c r="D23">
        <v>0</v>
      </c>
      <c r="E23">
        <v>1</v>
      </c>
      <c r="F23">
        <v>2</v>
      </c>
      <c r="G23">
        <v>0</v>
      </c>
      <c r="H23">
        <v>1</v>
      </c>
      <c r="I23">
        <v>0</v>
      </c>
      <c r="J23">
        <v>0</v>
      </c>
      <c r="K23" s="10">
        <f>SUM(Table1[[#This Row],[Int/num]:[array date]]) - Table1[[#This Row],[avg array length]] - 5</f>
        <v>14</v>
      </c>
      <c r="L23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1240</v>
      </c>
      <c r="M23" s="1">
        <f>200*100000</f>
        <v>20000000</v>
      </c>
      <c r="N23" s="3">
        <f>Table1[[#This Row],[Nb documents]]*Table1[[#This Row],[Document size in B]]</f>
        <v>24800000000</v>
      </c>
      <c r="O23" s="14">
        <f>Table1[[#This Row],[Collection size in B]]/1024^3</f>
        <v>23.096799850463867</v>
      </c>
    </row>
    <row r="24" spans="1:15" s="5" customFormat="1" ht="12" x14ac:dyDescent="0.2">
      <c r="A24" s="5" t="s">
        <v>29</v>
      </c>
      <c r="B24" s="5" t="s">
        <v>59</v>
      </c>
      <c r="C24" s="5" t="s">
        <v>58</v>
      </c>
      <c r="D24" s="5" t="s">
        <v>32</v>
      </c>
      <c r="E24" s="5" t="s">
        <v>33</v>
      </c>
      <c r="F24" s="5" t="s">
        <v>35</v>
      </c>
      <c r="G24" s="5" t="s">
        <v>32</v>
      </c>
      <c r="H24" s="5" t="s">
        <v>36</v>
      </c>
      <c r="I24" s="5" t="s">
        <v>32</v>
      </c>
      <c r="J24" s="5" t="s">
        <v>32</v>
      </c>
      <c r="K24" s="12" t="s">
        <v>62</v>
      </c>
      <c r="L24" s="6" t="s">
        <v>32</v>
      </c>
      <c r="M24" s="5" t="s">
        <v>65</v>
      </c>
      <c r="N24" s="9" t="s">
        <v>32</v>
      </c>
      <c r="O24" s="16" t="s">
        <v>32</v>
      </c>
    </row>
    <row r="25" spans="1:15" x14ac:dyDescent="0.25">
      <c r="A25" t="s">
        <v>22</v>
      </c>
      <c r="B25">
        <v>10</v>
      </c>
      <c r="C25">
        <v>7</v>
      </c>
      <c r="D25">
        <v>2</v>
      </c>
      <c r="E25">
        <v>2</v>
      </c>
      <c r="F25">
        <v>2</v>
      </c>
      <c r="G25">
        <v>0</v>
      </c>
      <c r="H25">
        <v>1</v>
      </c>
      <c r="I25">
        <v>0</v>
      </c>
      <c r="J25">
        <v>0</v>
      </c>
      <c r="K25" s="10">
        <f>SUM(Table1[[#This Row],[Int/num]:[array date]]) - Table1[[#This Row],[avg array length]] - 5</f>
        <v>17</v>
      </c>
      <c r="L25">
        <f>Table1[[#This Row],[Int/num]]*$B$2 + Table1[[#This Row],[String]]*$C$2 + Table1[[#This Row],[Date]]*$D$2 + Table1[[#This Row],[LongString]]*$E$2 + Table1[[#This Row],[array int]]*Table1[[#This Row],[avg array length]]*$G$2 + Table1[[#This Row],[array string]]*Table1[[#This Row],[avg array length]]*$H$2 + Table1[[#This Row],[array longstring]]*Table1[[#This Row],[avg array length]]*$I$2 + Table1[[#This Row],[array date]]*Table1[[#This Row],[avg array length]]*$J$2 + Table1[[#This Row],[keys]]*$K$2</f>
        <v>1444</v>
      </c>
      <c r="M25" s="1">
        <v>4000000000</v>
      </c>
      <c r="N25" s="3">
        <f>Table1[[#This Row],[Nb documents]]*Table1[[#This Row],[Document size in B]]</f>
        <v>5776000000000</v>
      </c>
      <c r="O25" s="14">
        <f>Table1[[#This Row],[Collection size in B]]/1024^3</f>
        <v>5379.3191909790039</v>
      </c>
    </row>
    <row r="26" spans="1:15" s="5" customFormat="1" ht="12" x14ac:dyDescent="0.2">
      <c r="A26" s="5" t="s">
        <v>29</v>
      </c>
      <c r="B26" s="5" t="s">
        <v>63</v>
      </c>
      <c r="C26" s="5" t="s">
        <v>52</v>
      </c>
      <c r="D26" s="5" t="s">
        <v>46</v>
      </c>
      <c r="E26" s="5" t="s">
        <v>64</v>
      </c>
      <c r="F26" s="5" t="s">
        <v>35</v>
      </c>
      <c r="G26" s="5" t="s">
        <v>32</v>
      </c>
      <c r="H26" s="5" t="s">
        <v>36</v>
      </c>
      <c r="I26" s="5" t="s">
        <v>32</v>
      </c>
      <c r="J26" s="5" t="s">
        <v>32</v>
      </c>
      <c r="K26" s="12" t="s">
        <v>60</v>
      </c>
      <c r="L26" s="6" t="s">
        <v>32</v>
      </c>
      <c r="M26" s="13" t="s">
        <v>66</v>
      </c>
      <c r="N26" s="9" t="s">
        <v>32</v>
      </c>
      <c r="O26" s="16" t="s">
        <v>32</v>
      </c>
    </row>
    <row r="28" spans="1:15" x14ac:dyDescent="0.25">
      <c r="A28" t="s">
        <v>82</v>
      </c>
      <c r="B28" t="s">
        <v>83</v>
      </c>
      <c r="C28" t="s">
        <v>84</v>
      </c>
    </row>
    <row r="29" spans="1:15" x14ac:dyDescent="0.25">
      <c r="A29" t="s">
        <v>75</v>
      </c>
      <c r="B29" t="s">
        <v>76</v>
      </c>
      <c r="C29">
        <f>(N3+N5+N7+N9+N11+N13+N15)/1024^3</f>
        <v>1333.8637413196266</v>
      </c>
    </row>
    <row r="30" spans="1:15" x14ac:dyDescent="0.25">
      <c r="A30" t="s">
        <v>70</v>
      </c>
      <c r="B30" t="s">
        <v>78</v>
      </c>
      <c r="C30">
        <f>(N17+N9+N11+N13+N15)/1024^3</f>
        <v>1333.9061535894871</v>
      </c>
    </row>
    <row r="31" spans="1:15" x14ac:dyDescent="0.25">
      <c r="A31" t="s">
        <v>71</v>
      </c>
      <c r="B31" t="s">
        <v>77</v>
      </c>
      <c r="C31">
        <f>(N19+N11+N13+N15)/1024^3</f>
        <v>1333.5336245596409</v>
      </c>
    </row>
    <row r="32" spans="1:15" x14ac:dyDescent="0.25">
      <c r="A32" t="s">
        <v>72</v>
      </c>
      <c r="B32" t="s">
        <v>79</v>
      </c>
      <c r="C32">
        <f>(N23+N11+N13+N15)/1024^3</f>
        <v>1354.0685422718525</v>
      </c>
    </row>
    <row r="33" spans="1:3" x14ac:dyDescent="0.25">
      <c r="A33" t="s">
        <v>73</v>
      </c>
      <c r="B33" t="s">
        <v>80</v>
      </c>
      <c r="C33">
        <f>(N25+N9+N11+N15)/1024^3</f>
        <v>5386.9188077747822</v>
      </c>
    </row>
    <row r="34" spans="1:3" x14ac:dyDescent="0.25">
      <c r="A34" t="s">
        <v>74</v>
      </c>
      <c r="B34" t="s">
        <v>81</v>
      </c>
      <c r="C34">
        <f>(N21+N9+N11+N15)/1024^3</f>
        <v>1259.4003476202488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auperin</dc:creator>
  <cp:lastModifiedBy>Jérémy Jérémy</cp:lastModifiedBy>
  <dcterms:created xsi:type="dcterms:W3CDTF">2025-10-11T17:39:22Z</dcterms:created>
  <dcterms:modified xsi:type="dcterms:W3CDTF">2025-11-14T10:56:19Z</dcterms:modified>
</cp:coreProperties>
</file>