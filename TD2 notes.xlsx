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009dbc6f400b33/Documents/Travail/ESILV/S9/Big Data Structure/"/>
    </mc:Choice>
  </mc:AlternateContent>
  <xr:revisionPtr revIDLastSave="79" documentId="8_{2CB21EA1-65BC-4EC5-B4B0-87F69F73A46C}" xr6:coauthVersionLast="47" xr6:coauthVersionMax="47" xr10:uidLastSave="{14DAE4AE-E817-4715-B4F0-B48CA3764D2A}"/>
  <bookViews>
    <workbookView xWindow="-108" yWindow="-108" windowWidth="23256" windowHeight="12456" xr2:uid="{1DFF44B8-C504-4A68-AE8C-18D38AB75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9" i="1"/>
  <c r="K10" i="1"/>
  <c r="I9" i="1"/>
  <c r="I10" i="1"/>
  <c r="G10" i="1"/>
  <c r="H10" i="1"/>
  <c r="H3" i="1"/>
  <c r="H4" i="1"/>
  <c r="I4" i="1" s="1"/>
  <c r="H5" i="1"/>
  <c r="I5" i="1" s="1"/>
  <c r="H6" i="1"/>
  <c r="I6" i="1" s="1"/>
  <c r="H7" i="1"/>
  <c r="I7" i="1" s="1"/>
  <c r="H9" i="1"/>
  <c r="G9" i="1"/>
  <c r="K7" i="1"/>
  <c r="G7" i="1"/>
  <c r="K6" i="1"/>
  <c r="G6" i="1"/>
  <c r="K4" i="1"/>
  <c r="K5" i="1"/>
  <c r="K3" i="1"/>
  <c r="R7" i="1"/>
  <c r="R6" i="1"/>
  <c r="R5" i="1"/>
  <c r="I3" i="1"/>
  <c r="G4" i="1"/>
  <c r="G5" i="1"/>
  <c r="G3" i="1"/>
</calcChain>
</file>

<file path=xl/sharedStrings.xml><?xml version="1.0" encoding="utf-8"?>
<sst xmlns="http://schemas.openxmlformats.org/spreadsheetml/2006/main" count="64" uniqueCount="39">
  <si>
    <t>DB</t>
  </si>
  <si>
    <t>DB1</t>
  </si>
  <si>
    <t>Query</t>
  </si>
  <si>
    <t>Table</t>
  </si>
  <si>
    <t>Sharding Key</t>
  </si>
  <si>
    <t>Index</t>
  </si>
  <si>
    <t>Algo</t>
  </si>
  <si>
    <t>CO2 cost</t>
  </si>
  <si>
    <t>Price cost</t>
  </si>
  <si>
    <t>Q1</t>
  </si>
  <si>
    <t>Stock</t>
  </si>
  <si>
    <t>IDP</t>
  </si>
  <si>
    <t>IDW</t>
  </si>
  <si>
    <t>IDP &amp; IDW</t>
  </si>
  <si>
    <t>Time cost (network + RAM)</t>
  </si>
  <si>
    <t>time cost = query size / bandwidth (B/s) if bw in B only, then q size * bw</t>
  </si>
  <si>
    <t>NETWORK</t>
  </si>
  <si>
    <t>RAM</t>
  </si>
  <si>
    <t>TOTAL</t>
  </si>
  <si>
    <t>RAM = index(1MB) + number of pointers * document size</t>
  </si>
  <si>
    <t>IDW + IDP</t>
  </si>
  <si>
    <t>IDW &amp; IDP</t>
  </si>
  <si>
    <t>Bandwidth RAM</t>
  </si>
  <si>
    <t>Bw network</t>
  </si>
  <si>
    <t>BW price</t>
  </si>
  <si>
    <t>DB2</t>
  </si>
  <si>
    <t>P[S]</t>
  </si>
  <si>
    <t>DB3</t>
  </si>
  <si>
    <t>S{P}</t>
  </si>
  <si>
    <t>Q2</t>
  </si>
  <si>
    <t>query size = input(above) + output</t>
  </si>
  <si>
    <t>query size input = what you're looking for so for q1 : IDP (8) + IDW (8) + quantity (8) ()true/false boolean so int) + location (8) same as quantity + 12*4 (as each are keys) + nesting (12) (as looking in nested object)</t>
  </si>
  <si>
    <t>P</t>
  </si>
  <si>
    <t>IDP + brand</t>
  </si>
  <si>
    <t>brand</t>
  </si>
  <si>
    <t xml:space="preserve">brand </t>
  </si>
  <si>
    <t>CO2 network</t>
  </si>
  <si>
    <t>CO2 RAM</t>
  </si>
  <si>
    <t>Time Cost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</si>
</sst>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2646-268A-4BF0-B8BE-92336CD772FB}">
  <dimension ref="A1:R27"/>
  <sheetViews>
    <sheetView tabSelected="1" workbookViewId="0">
      <selection activeCell="I4" sqref="I4"/>
    </sheetView>
  </sheetViews>
  <sheetFormatPr defaultRowHeight="14.4" x14ac:dyDescent="0.3"/>
  <cols>
    <col min="1" max="11" width="15.77734375" customWidth="1"/>
    <col min="15" max="15" width="37.77734375" customWidth="1"/>
    <col min="18" max="18" width="41.88671875" customWidth="1"/>
  </cols>
  <sheetData>
    <row r="1" spans="1:1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2" t="s">
        <v>38</v>
      </c>
      <c r="H1" s="2"/>
      <c r="I1" s="2"/>
      <c r="J1" t="s">
        <v>7</v>
      </c>
      <c r="K1" t="s">
        <v>8</v>
      </c>
      <c r="M1" t="s">
        <v>14</v>
      </c>
    </row>
    <row r="2" spans="1:18" x14ac:dyDescent="0.3">
      <c r="G2" t="s">
        <v>16</v>
      </c>
      <c r="H2" t="s">
        <v>17</v>
      </c>
      <c r="I2" t="s">
        <v>18</v>
      </c>
      <c r="M2" t="s">
        <v>19</v>
      </c>
      <c r="R2" t="s">
        <v>15</v>
      </c>
    </row>
    <row r="3" spans="1:18" x14ac:dyDescent="0.3">
      <c r="A3" t="s">
        <v>1</v>
      </c>
      <c r="B3" t="s">
        <v>9</v>
      </c>
      <c r="C3" t="s">
        <v>10</v>
      </c>
      <c r="D3" t="s">
        <v>11</v>
      </c>
      <c r="E3" t="s">
        <v>11</v>
      </c>
      <c r="F3" t="s">
        <v>5</v>
      </c>
      <c r="G3" s="1">
        <f>(92 + 112)/10^8</f>
        <v>2.04E-6</v>
      </c>
      <c r="H3" s="1">
        <f>(10^6 + 200 * 152)/R5</f>
        <v>4.1216E-5</v>
      </c>
      <c r="I3" s="1">
        <f>SUM(G3:H3)</f>
        <v>4.3256000000000001E-5</v>
      </c>
      <c r="J3" s="1">
        <f>G3*$R$8 + H3*$R$9</f>
        <v>1.1764880000000001E-15</v>
      </c>
      <c r="K3" s="1">
        <f>G3*$R$7</f>
        <v>2.2439999999999998E-17</v>
      </c>
      <c r="R3" t="s">
        <v>31</v>
      </c>
    </row>
    <row r="4" spans="1:18" x14ac:dyDescent="0.3">
      <c r="A4" t="s">
        <v>1</v>
      </c>
      <c r="B4" t="s">
        <v>9</v>
      </c>
      <c r="C4" t="s">
        <v>10</v>
      </c>
      <c r="D4" t="s">
        <v>12</v>
      </c>
      <c r="E4" t="s">
        <v>20</v>
      </c>
      <c r="F4" t="s">
        <v>5</v>
      </c>
      <c r="G4" s="1">
        <f t="shared" ref="G4:G10" si="0">(92 + 112)/10^8</f>
        <v>2.04E-6</v>
      </c>
      <c r="H4" s="1">
        <f>(2000000 + 1*152)/R5</f>
        <v>8.0006079999999998E-5</v>
      </c>
      <c r="I4" s="1">
        <f t="shared" ref="I4:I10" si="1">SUM(G4:H4)</f>
        <v>8.2046079999999999E-5</v>
      </c>
      <c r="J4" s="1"/>
      <c r="K4" s="1">
        <f t="shared" ref="K4:K10" si="2">G4*$R$7</f>
        <v>2.2439999999999998E-17</v>
      </c>
      <c r="R4" t="s">
        <v>30</v>
      </c>
    </row>
    <row r="5" spans="1:18" x14ac:dyDescent="0.3">
      <c r="A5" t="s">
        <v>1</v>
      </c>
      <c r="B5" t="s">
        <v>9</v>
      </c>
      <c r="C5" t="s">
        <v>10</v>
      </c>
      <c r="D5" t="s">
        <v>13</v>
      </c>
      <c r="E5" t="s">
        <v>21</v>
      </c>
      <c r="F5" t="s">
        <v>5</v>
      </c>
      <c r="G5" s="1">
        <f t="shared" si="0"/>
        <v>2.04E-6</v>
      </c>
      <c r="H5" s="1">
        <f>(1000000 + 1*152)/R5</f>
        <v>4.0006080000000002E-5</v>
      </c>
      <c r="I5" s="1">
        <f t="shared" si="1"/>
        <v>4.2046080000000002E-5</v>
      </c>
      <c r="J5" s="1"/>
      <c r="K5" s="1">
        <f t="shared" si="2"/>
        <v>2.2439999999999998E-17</v>
      </c>
      <c r="Q5" t="s">
        <v>22</v>
      </c>
      <c r="R5">
        <f>25000000000</f>
        <v>25000000000</v>
      </c>
    </row>
    <row r="6" spans="1:18" x14ac:dyDescent="0.3">
      <c r="A6" t="s">
        <v>25</v>
      </c>
      <c r="B6" t="s">
        <v>9</v>
      </c>
      <c r="C6" t="s">
        <v>26</v>
      </c>
      <c r="D6" t="s">
        <v>11</v>
      </c>
      <c r="E6" t="s">
        <v>11</v>
      </c>
      <c r="F6" t="s">
        <v>5</v>
      </c>
      <c r="G6" s="1">
        <f t="shared" si="0"/>
        <v>2.04E-6</v>
      </c>
      <c r="H6" s="1">
        <f>(1000000 + 1*27392)/R5</f>
        <v>4.1095679999999999E-5</v>
      </c>
      <c r="I6" s="1">
        <f t="shared" si="1"/>
        <v>4.313568E-5</v>
      </c>
      <c r="J6" s="1"/>
      <c r="K6" s="1">
        <f t="shared" si="2"/>
        <v>2.2439999999999998E-17</v>
      </c>
      <c r="Q6" t="s">
        <v>23</v>
      </c>
      <c r="R6">
        <f>100000000</f>
        <v>100000000</v>
      </c>
    </row>
    <row r="7" spans="1:18" x14ac:dyDescent="0.3">
      <c r="A7" t="s">
        <v>27</v>
      </c>
      <c r="B7" t="s">
        <v>9</v>
      </c>
      <c r="C7" t="s">
        <v>28</v>
      </c>
      <c r="D7" t="s">
        <v>12</v>
      </c>
      <c r="E7" t="s">
        <v>20</v>
      </c>
      <c r="F7" t="s">
        <v>5</v>
      </c>
      <c r="G7" s="1">
        <f t="shared" si="0"/>
        <v>2.04E-6</v>
      </c>
      <c r="H7" s="1">
        <f>(2000000 + 1*1108)/R5</f>
        <v>8.0044320000000003E-5</v>
      </c>
      <c r="I7" s="1">
        <f t="shared" si="1"/>
        <v>8.2084320000000004E-5</v>
      </c>
      <c r="J7" s="1"/>
      <c r="K7" s="1">
        <f t="shared" si="2"/>
        <v>2.2439999999999998E-17</v>
      </c>
      <c r="Q7" t="s">
        <v>24</v>
      </c>
      <c r="R7">
        <f>0.011/10^9</f>
        <v>1.0999999999999999E-11</v>
      </c>
    </row>
    <row r="8" spans="1:18" x14ac:dyDescent="0.3">
      <c r="G8" s="1"/>
      <c r="H8" s="1"/>
      <c r="I8" s="1"/>
      <c r="J8" s="1"/>
      <c r="K8" s="1"/>
      <c r="Q8" t="s">
        <v>36</v>
      </c>
      <c r="R8" s="1">
        <v>1.1000000000000001E-11</v>
      </c>
    </row>
    <row r="9" spans="1:18" x14ac:dyDescent="0.3">
      <c r="A9" t="s">
        <v>1</v>
      </c>
      <c r="B9" t="s">
        <v>29</v>
      </c>
      <c r="C9" t="s">
        <v>32</v>
      </c>
      <c r="D9" t="s">
        <v>11</v>
      </c>
      <c r="E9" t="s">
        <v>33</v>
      </c>
      <c r="F9" t="s">
        <v>5</v>
      </c>
      <c r="G9" s="1">
        <f>(1000*166 + 50*120) / R6</f>
        <v>1.72E-3</v>
      </c>
      <c r="H9" s="1">
        <f>(1000000+1*980)/R5</f>
        <v>4.0039200000000001E-5</v>
      </c>
      <c r="I9" s="1">
        <f t="shared" si="1"/>
        <v>1.7600392E-3</v>
      </c>
      <c r="J9" s="1"/>
      <c r="K9" s="1">
        <f t="shared" si="2"/>
        <v>1.8919999999999997E-14</v>
      </c>
      <c r="Q9" t="s">
        <v>37</v>
      </c>
      <c r="R9" s="1">
        <v>2.8E-11</v>
      </c>
    </row>
    <row r="10" spans="1:18" x14ac:dyDescent="0.3">
      <c r="A10" t="s">
        <v>1</v>
      </c>
      <c r="B10" t="s">
        <v>29</v>
      </c>
      <c r="C10" t="s">
        <v>32</v>
      </c>
      <c r="D10" t="s">
        <v>34</v>
      </c>
      <c r="E10" t="s">
        <v>35</v>
      </c>
      <c r="F10" t="s">
        <v>5</v>
      </c>
      <c r="G10" s="1">
        <f>(1*166 + 50*120) / R6</f>
        <v>6.1660000000000003E-5</v>
      </c>
      <c r="H10" s="1">
        <f>(1000000+50*980)/R5</f>
        <v>4.1959999999999998E-5</v>
      </c>
      <c r="I10" s="1">
        <f t="shared" si="1"/>
        <v>1.0362E-4</v>
      </c>
      <c r="J10" s="1"/>
      <c r="K10" s="1">
        <f t="shared" si="2"/>
        <v>6.7826E-16</v>
      </c>
    </row>
    <row r="11" spans="1:18" x14ac:dyDescent="0.3">
      <c r="G11" s="1"/>
      <c r="H11" s="1"/>
      <c r="I11" s="1"/>
      <c r="J11" s="1"/>
      <c r="K11" s="1"/>
    </row>
    <row r="12" spans="1:18" x14ac:dyDescent="0.3">
      <c r="G12" s="1"/>
      <c r="H12" s="1"/>
      <c r="I12" s="1"/>
      <c r="J12" s="1"/>
      <c r="K12" s="1"/>
    </row>
    <row r="13" spans="1:18" x14ac:dyDescent="0.3">
      <c r="G13" s="1"/>
      <c r="H13" s="1"/>
      <c r="I13" s="1"/>
      <c r="J13" s="1"/>
      <c r="K13" s="1"/>
    </row>
    <row r="14" spans="1:18" x14ac:dyDescent="0.3">
      <c r="G14" s="1"/>
      <c r="H14" s="1"/>
      <c r="I14" s="1"/>
      <c r="J14" s="1"/>
      <c r="K14" s="1"/>
    </row>
    <row r="15" spans="1:18" x14ac:dyDescent="0.3">
      <c r="G15" s="1"/>
      <c r="H15" s="1"/>
      <c r="I15" s="1"/>
      <c r="J15" s="1"/>
      <c r="K15" s="1"/>
    </row>
    <row r="16" spans="1:18" x14ac:dyDescent="0.3">
      <c r="G16" s="1"/>
      <c r="H16" s="1"/>
      <c r="I16" s="1"/>
      <c r="J16" s="1"/>
      <c r="K16" s="1"/>
    </row>
    <row r="17" spans="7:11" x14ac:dyDescent="0.3">
      <c r="G17" s="1"/>
      <c r="H17" s="1"/>
      <c r="I17" s="1"/>
      <c r="J17" s="1"/>
      <c r="K17" s="1"/>
    </row>
    <row r="18" spans="7:11" x14ac:dyDescent="0.3">
      <c r="G18" s="1"/>
      <c r="H18" s="1"/>
      <c r="I18" s="1"/>
      <c r="J18" s="1"/>
      <c r="K18" s="1"/>
    </row>
    <row r="19" spans="7:11" x14ac:dyDescent="0.3">
      <c r="G19" s="1"/>
      <c r="H19" s="1"/>
      <c r="I19" s="1"/>
      <c r="J19" s="1"/>
      <c r="K19" s="1"/>
    </row>
    <row r="20" spans="7:11" x14ac:dyDescent="0.3">
      <c r="G20" s="1"/>
      <c r="H20" s="1"/>
      <c r="I20" s="1"/>
      <c r="J20" s="1"/>
      <c r="K20" s="1"/>
    </row>
    <row r="21" spans="7:11" x14ac:dyDescent="0.3">
      <c r="G21" s="1"/>
      <c r="H21" s="1"/>
      <c r="I21" s="1"/>
      <c r="J21" s="1"/>
      <c r="K21" s="1"/>
    </row>
    <row r="22" spans="7:11" x14ac:dyDescent="0.3">
      <c r="G22" s="1"/>
      <c r="H22" s="1"/>
      <c r="I22" s="1"/>
      <c r="J22" s="1"/>
      <c r="K22" s="1"/>
    </row>
    <row r="23" spans="7:11" x14ac:dyDescent="0.3">
      <c r="G23" s="1"/>
      <c r="H23" s="1"/>
      <c r="I23" s="1"/>
      <c r="J23" s="1"/>
      <c r="K23" s="1"/>
    </row>
    <row r="24" spans="7:11" x14ac:dyDescent="0.3">
      <c r="G24" s="1"/>
      <c r="H24" s="1"/>
      <c r="I24" s="1"/>
      <c r="J24" s="1"/>
      <c r="K24" s="1"/>
    </row>
    <row r="25" spans="7:11" x14ac:dyDescent="0.3">
      <c r="G25" s="1"/>
      <c r="H25" s="1"/>
      <c r="I25" s="1"/>
      <c r="J25" s="1"/>
      <c r="K25" s="1"/>
    </row>
    <row r="26" spans="7:11" x14ac:dyDescent="0.3">
      <c r="G26" s="1"/>
      <c r="H26" s="1"/>
      <c r="I26" s="1"/>
      <c r="J26" s="1"/>
      <c r="K26" s="1"/>
    </row>
    <row r="27" spans="7:11" x14ac:dyDescent="0.3">
      <c r="G27" s="1"/>
      <c r="H27" s="1"/>
      <c r="I27" s="1"/>
      <c r="J27" s="1"/>
      <c r="K27" s="1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auperin</dc:creator>
  <cp:lastModifiedBy>hugo auperin</cp:lastModifiedBy>
  <dcterms:created xsi:type="dcterms:W3CDTF">2025-11-14T14:56:23Z</dcterms:created>
  <dcterms:modified xsi:type="dcterms:W3CDTF">2025-11-14T17:14:47Z</dcterms:modified>
</cp:coreProperties>
</file>